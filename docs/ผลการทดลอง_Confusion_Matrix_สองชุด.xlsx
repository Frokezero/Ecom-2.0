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เปรียบเทียบ" sheetId="1" state="visible" r:id="rId1"/>
    <sheet xmlns:r="http://schemas.openxmlformats.org/officeDocument/2006/relationships" name="ชุดตัวอย่าง" sheetId="2" state="visible" r:id="rId2"/>
    <sheet xmlns:r="http://schemas.openxmlformats.org/officeDocument/2006/relationships" name="ผลทดลองจริ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8"/>
    </font>
    <font>
      <name val="Tahoma"/>
      <i val="1"/>
      <color rgb="0059635E"/>
    </font>
    <font>
      <name val="Tahoma"/>
      <b val="1"/>
    </font>
    <font>
      <name val="Tahoma"/>
    </font>
    <font>
      <name val="Tahoma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73F32"/>
      </patternFill>
    </fill>
    <fill>
      <patternFill patternType="solid">
        <fgColor rgb="00EAF4EF"/>
      </patternFill>
    </fill>
    <fill>
      <patternFill patternType="solid">
        <fgColor rgb="00DDF2E7"/>
      </patternFill>
    </fill>
    <fill>
      <patternFill patternType="solid">
        <fgColor rgb="00FCE7E7"/>
      </patternFill>
    </fill>
    <fill>
      <patternFill patternType="solid">
        <fgColor rgb="00FFF0E8"/>
      </patternFill>
    </fill>
    <fill>
      <patternFill patternType="solid">
        <fgColor rgb="00218F79"/>
      </patternFill>
    </fill>
    <fill>
      <patternFill patternType="solid">
        <fgColor rgb="00D96C3F"/>
      </patternFill>
    </fill>
  </fills>
  <borders count="2">
    <border>
      <left/>
      <right/>
      <top/>
      <bottom/>
      <diagonal/>
    </border>
    <border>
      <left style="thin">
        <color rgb="00D9DEDA"/>
      </left>
      <right style="thin">
        <color rgb="00D9DEDA"/>
      </right>
      <top style="thin">
        <color rgb="00D9DEDA"/>
      </top>
      <bottom style="thin">
        <color rgb="00D9DED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8" borderId="0" applyAlignment="1" pivotButton="0" quotePrefix="0" xfId="0">
      <alignment horizontal="center"/>
    </xf>
    <xf numFmtId="1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TP TN FP FN — ชุดตัวอย่าง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'ชุดตัวอย่าง'!B9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'ชุดตัวอย่าง'!$A$10:$A$13</f>
            </numRef>
          </cat>
          <val>
            <numRef>
              <f>'ชุดตัวอย่าง'!$B$10:$B$13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ประเภท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จำนวนกรณี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TP TN FP FN — ผลทดลองจริง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'ผลทดลองจริง'!B9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'ผลทดลองจริง'!$A$10:$A$13</f>
            </numRef>
          </cat>
          <val>
            <numRef>
              <f>'ผลทดลองจริง'!$B$10:$B$13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ประเภท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จำนวนกรณี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1" t="inlineStr">
        <is>
          <t>สรุปผล Confusion Matrix ทั้งสองชุด</t>
        </is>
      </c>
    </row>
    <row r="3">
      <c r="A3" s="2" t="inlineStr">
        <is>
          <t>รายการ</t>
        </is>
      </c>
      <c r="B3" s="2" t="inlineStr">
        <is>
          <t>ชุดตัวอย่าง</t>
        </is>
      </c>
      <c r="C3" s="2" t="inlineStr">
        <is>
          <t>ผลทดลองจริง</t>
        </is>
      </c>
    </row>
    <row r="4">
      <c r="A4" s="3" t="inlineStr">
        <is>
          <t>TP</t>
        </is>
      </c>
      <c r="B4" s="3" t="n">
        <v>150</v>
      </c>
      <c r="C4" s="3" t="n">
        <v>540</v>
      </c>
    </row>
    <row r="5">
      <c r="A5" s="3" t="inlineStr">
        <is>
          <t>TN</t>
        </is>
      </c>
      <c r="B5" s="3" t="n">
        <v>900</v>
      </c>
      <c r="C5" s="3" t="n">
        <v>2375</v>
      </c>
    </row>
    <row r="6">
      <c r="A6" s="3" t="inlineStr">
        <is>
          <t>FP</t>
        </is>
      </c>
      <c r="B6" s="3" t="n">
        <v>30</v>
      </c>
      <c r="C6" s="3" t="n">
        <v>25</v>
      </c>
    </row>
    <row r="7">
      <c r="A7" s="3" t="inlineStr">
        <is>
          <t>FN</t>
        </is>
      </c>
      <c r="B7" s="3" t="n">
        <v>20</v>
      </c>
      <c r="C7" s="3" t="n">
        <v>60</v>
      </c>
    </row>
    <row r="8">
      <c r="A8" s="3" t="inlineStr">
        <is>
          <t>จำนวนทั้งหมด</t>
        </is>
      </c>
      <c r="B8" s="3" t="n">
        <v>1100</v>
      </c>
      <c r="C8" s="3" t="n">
        <v>3000</v>
      </c>
    </row>
    <row r="9">
      <c r="A9" s="3" t="inlineStr">
        <is>
          <t>Accuracy</t>
        </is>
      </c>
      <c r="B9" s="4">
        <f>'ชุดตัวอย่าง'!B16</f>
        <v/>
      </c>
      <c r="C9" s="4">
        <f>'ผลทดลองจริง'!B16</f>
        <v/>
      </c>
    </row>
    <row r="10">
      <c r="A10" s="3" t="inlineStr">
        <is>
          <t>Precision</t>
        </is>
      </c>
      <c r="B10" s="4">
        <f>'ชุดตัวอย่าง'!B17</f>
        <v/>
      </c>
      <c r="C10" s="4">
        <f>'ผลทดลองจริง'!B17</f>
        <v/>
      </c>
    </row>
    <row r="11">
      <c r="A11" s="3" t="inlineStr">
        <is>
          <t>Recall</t>
        </is>
      </c>
      <c r="B11" s="4">
        <f>'ชุดตัวอย่าง'!B18</f>
        <v/>
      </c>
      <c r="C11" s="4">
        <f>'ผลทดลองจริง'!B18</f>
        <v/>
      </c>
    </row>
    <row r="12">
      <c r="A12" s="3" t="inlineStr">
        <is>
          <t>F1-score</t>
        </is>
      </c>
      <c r="B12" s="4">
        <f>'ชุดตัวอย่าง'!B19</f>
        <v/>
      </c>
      <c r="C12" s="4">
        <f>'ผลทดลองจริง'!B19</f>
        <v/>
      </c>
    </row>
    <row r="13">
      <c r="A13" s="3" t="inlineStr">
        <is>
          <t>False Positive Rate</t>
        </is>
      </c>
      <c r="B13" s="4">
        <f>'ชุดตัวอย่าง'!B20</f>
        <v/>
      </c>
      <c r="C13" s="4">
        <f>'ผลทดลองจริง'!B20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3" customWidth="1" min="3" max="3"/>
    <col width="18" customWidth="1" min="4" max="4"/>
  </cols>
  <sheetData>
    <row r="1" ht="24" customHeight="1">
      <c r="A1" s="1" t="inlineStr">
        <is>
          <t>Confusion Matrix — ชุดตัวอย่าง</t>
        </is>
      </c>
    </row>
    <row r="2" ht="24" customHeight="1">
      <c r="A2" s="5" t="inlineStr">
        <is>
          <t>ข้อมูลตัวอย่างจำนวน 1,100 กรณี</t>
        </is>
      </c>
    </row>
    <row r="3" ht="24" customHeight="1"/>
    <row r="4" ht="24" customHeight="1">
      <c r="A4" s="6" t="inlineStr"/>
      <c r="B4" s="6" t="inlineStr">
        <is>
          <t>Actual Normal</t>
        </is>
      </c>
      <c r="C4" s="6" t="inlineStr">
        <is>
          <t>Actual Suspicious</t>
        </is>
      </c>
      <c r="D4" s="6" t="inlineStr">
        <is>
          <t>รวมผลทำนาย</t>
        </is>
      </c>
    </row>
    <row r="5" ht="24" customHeight="1">
      <c r="A5" s="6" t="inlineStr">
        <is>
          <t>Predicted Normal</t>
        </is>
      </c>
      <c r="B5" s="7" t="n">
        <v>900</v>
      </c>
      <c r="C5" s="8" t="n">
        <v>20</v>
      </c>
      <c r="D5" s="9">
        <f>SUM(B5:C5)</f>
        <v/>
      </c>
    </row>
    <row r="6" ht="24" customHeight="1">
      <c r="A6" s="6" t="inlineStr">
        <is>
          <t>Predicted Suspicious</t>
        </is>
      </c>
      <c r="B6" s="10" t="n">
        <v>30</v>
      </c>
      <c r="C6" s="7" t="n">
        <v>150</v>
      </c>
      <c r="D6" s="9">
        <f>SUM(B6:C6)</f>
        <v/>
      </c>
    </row>
    <row r="7" ht="24" customHeight="1">
      <c r="A7" s="6" t="inlineStr">
        <is>
          <t>รวมข้อมูลจริง</t>
        </is>
      </c>
      <c r="B7" s="11">
        <f>SUM(B5:B6)</f>
        <v/>
      </c>
      <c r="C7" s="11">
        <f>SUM(C5:C6)</f>
        <v/>
      </c>
      <c r="D7" s="11">
        <f>SUM(B5:C6)</f>
        <v/>
      </c>
    </row>
    <row r="8" ht="24" customHeight="1"/>
    <row r="9" ht="24" customHeight="1">
      <c r="A9" s="2" t="inlineStr">
        <is>
          <t>ค่า</t>
        </is>
      </c>
      <c r="B9" s="2" t="inlineStr">
        <is>
          <t>จำนวน</t>
        </is>
      </c>
      <c r="C9" s="2" t="inlineStr">
        <is>
          <t>ความหมาย</t>
        </is>
      </c>
      <c r="D9" s="2" t="n"/>
    </row>
    <row r="10" ht="24" customHeight="1">
      <c r="A10" s="12" t="inlineStr">
        <is>
          <t>TP</t>
        </is>
      </c>
      <c r="B10" s="12" t="n">
        <v>150</v>
      </c>
      <c r="C10" s="12" t="inlineStr">
        <is>
          <t>ตรวจพบพฤติกรรมน่าสงสัยได้ถูกต้อง</t>
        </is>
      </c>
    </row>
    <row r="11" ht="24" customHeight="1">
      <c r="A11" s="12" t="inlineStr">
        <is>
          <t>TN</t>
        </is>
      </c>
      <c r="B11" s="12" t="n">
        <v>900</v>
      </c>
      <c r="C11" s="12" t="inlineStr">
        <is>
          <t>ระบุพฤติกรรมปกติได้ถูกต้อง</t>
        </is>
      </c>
    </row>
    <row r="12" ht="24" customHeight="1">
      <c r="A12" s="12" t="inlineStr">
        <is>
          <t>FP</t>
        </is>
      </c>
      <c r="B12" s="12" t="n">
        <v>30</v>
      </c>
      <c r="C12" s="12" t="inlineStr">
        <is>
          <t>ผู้ใช้ปกติถูกแจ้งว่าน่าสงสัย</t>
        </is>
      </c>
    </row>
    <row r="13" ht="24" customHeight="1">
      <c r="A13" s="12" t="inlineStr">
        <is>
          <t>FN</t>
        </is>
      </c>
      <c r="B13" s="12" t="n">
        <v>20</v>
      </c>
      <c r="C13" s="12" t="inlineStr">
        <is>
          <t>พฤติกรรมน่าสงสัยที่ระบบตรวจไม่พบ</t>
        </is>
      </c>
    </row>
    <row r="14" ht="24" customHeight="1"/>
    <row r="15" ht="24" customHeight="1">
      <c r="A15" s="13" t="inlineStr">
        <is>
          <t>ตัวชี้วัด</t>
        </is>
      </c>
      <c r="B15" s="13" t="inlineStr">
        <is>
          <t>ผลลัพธ์</t>
        </is>
      </c>
      <c r="C15" s="13" t="inlineStr">
        <is>
          <t>สูตร</t>
        </is>
      </c>
      <c r="D15" s="13" t="n"/>
    </row>
    <row r="16" ht="24" customHeight="1">
      <c r="A16" s="12" t="inlineStr">
        <is>
          <t>Accuracy</t>
        </is>
      </c>
      <c r="B16" s="14">
        <f>($B$10+$B$11)/SUM($B$10:$B$13)</f>
        <v/>
      </c>
      <c r="C16" s="12" t="inlineStr">
        <is>
          <t>(TP+TN)/(TP+TN+FP+FN)</t>
        </is>
      </c>
    </row>
    <row r="17" ht="24" customHeight="1">
      <c r="A17" s="12" t="inlineStr">
        <is>
          <t>Precision</t>
        </is>
      </c>
      <c r="B17" s="14">
        <f>$B$10/($B$10+$B$12)</f>
        <v/>
      </c>
      <c r="C17" s="12" t="inlineStr">
        <is>
          <t>TP/(TP+FP)</t>
        </is>
      </c>
    </row>
    <row r="18" ht="24" customHeight="1">
      <c r="A18" s="12" t="inlineStr">
        <is>
          <t>Recall / Detection Rate</t>
        </is>
      </c>
      <c r="B18" s="14">
        <f>$B$10/($B$10+$B$13)</f>
        <v/>
      </c>
      <c r="C18" s="12" t="inlineStr">
        <is>
          <t>TP/(TP+FN)</t>
        </is>
      </c>
    </row>
    <row r="19" ht="24" customHeight="1">
      <c r="A19" s="12" t="inlineStr">
        <is>
          <t>F1-score</t>
        </is>
      </c>
      <c r="B19" s="14">
        <f>2*$B$10/(2*$B$10+$B$12+$B$13)</f>
        <v/>
      </c>
      <c r="C19" s="12" t="inlineStr">
        <is>
          <t>2TP/(2TP+FP+FN)</t>
        </is>
      </c>
    </row>
    <row r="20" ht="24" customHeight="1">
      <c r="A20" s="12" t="inlineStr">
        <is>
          <t>False Positive Rate</t>
        </is>
      </c>
      <c r="B20" s="14">
        <f>$B$12/($B$12+$B$11)</f>
        <v/>
      </c>
      <c r="C20" s="12" t="inlineStr">
        <is>
          <t>FP/(FP+TN)</t>
        </is>
      </c>
    </row>
    <row r="21" ht="24" customHeight="1"/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3" customWidth="1" min="3" max="3"/>
    <col width="18" customWidth="1" min="4" max="4"/>
  </cols>
  <sheetData>
    <row r="1" ht="24" customHeight="1">
      <c r="A1" s="1" t="inlineStr">
        <is>
          <t>Confusion Matrix — ผลทดลองจริง</t>
        </is>
      </c>
    </row>
    <row r="2" ht="24" customHeight="1">
      <c r="A2" s="5" t="inlineStr">
        <is>
          <t>ผลจากระบบจริง รหัส EXP-20260910-105023 จำนวน 3,000 กรณี</t>
        </is>
      </c>
    </row>
    <row r="3" ht="24" customHeight="1"/>
    <row r="4" ht="24" customHeight="1">
      <c r="A4" s="6" t="inlineStr"/>
      <c r="B4" s="6" t="inlineStr">
        <is>
          <t>Actual Normal</t>
        </is>
      </c>
      <c r="C4" s="6" t="inlineStr">
        <is>
          <t>Actual Suspicious</t>
        </is>
      </c>
      <c r="D4" s="6" t="inlineStr">
        <is>
          <t>รวมผลทำนาย</t>
        </is>
      </c>
    </row>
    <row r="5" ht="24" customHeight="1">
      <c r="A5" s="6" t="inlineStr">
        <is>
          <t>Predicted Normal</t>
        </is>
      </c>
      <c r="B5" s="7" t="n">
        <v>2375</v>
      </c>
      <c r="C5" s="8" t="n">
        <v>60</v>
      </c>
      <c r="D5" s="9">
        <f>SUM(B5:C5)</f>
        <v/>
      </c>
    </row>
    <row r="6" ht="24" customHeight="1">
      <c r="A6" s="6" t="inlineStr">
        <is>
          <t>Predicted Suspicious</t>
        </is>
      </c>
      <c r="B6" s="10" t="n">
        <v>25</v>
      </c>
      <c r="C6" s="7" t="n">
        <v>540</v>
      </c>
      <c r="D6" s="9">
        <f>SUM(B6:C6)</f>
        <v/>
      </c>
    </row>
    <row r="7" ht="24" customHeight="1">
      <c r="A7" s="6" t="inlineStr">
        <is>
          <t>รวมข้อมูลจริง</t>
        </is>
      </c>
      <c r="B7" s="11">
        <f>SUM(B5:B6)</f>
        <v/>
      </c>
      <c r="C7" s="11">
        <f>SUM(C5:C6)</f>
        <v/>
      </c>
      <c r="D7" s="11">
        <f>SUM(B5:C6)</f>
        <v/>
      </c>
    </row>
    <row r="8" ht="24" customHeight="1"/>
    <row r="9" ht="24" customHeight="1">
      <c r="A9" s="2" t="inlineStr">
        <is>
          <t>ค่า</t>
        </is>
      </c>
      <c r="B9" s="2" t="inlineStr">
        <is>
          <t>จำนวน</t>
        </is>
      </c>
      <c r="C9" s="2" t="inlineStr">
        <is>
          <t>ความหมาย</t>
        </is>
      </c>
      <c r="D9" s="2" t="n"/>
    </row>
    <row r="10" ht="24" customHeight="1">
      <c r="A10" s="12" t="inlineStr">
        <is>
          <t>TP</t>
        </is>
      </c>
      <c r="B10" s="12" t="n">
        <v>540</v>
      </c>
      <c r="C10" s="12" t="inlineStr">
        <is>
          <t>ตรวจพบพฤติกรรมน่าสงสัยได้ถูกต้อง</t>
        </is>
      </c>
    </row>
    <row r="11" ht="24" customHeight="1">
      <c r="A11" s="12" t="inlineStr">
        <is>
          <t>TN</t>
        </is>
      </c>
      <c r="B11" s="12" t="n">
        <v>2375</v>
      </c>
      <c r="C11" s="12" t="inlineStr">
        <is>
          <t>ระบุพฤติกรรมปกติได้ถูกต้อง</t>
        </is>
      </c>
    </row>
    <row r="12" ht="24" customHeight="1">
      <c r="A12" s="12" t="inlineStr">
        <is>
          <t>FP</t>
        </is>
      </c>
      <c r="B12" s="12" t="n">
        <v>25</v>
      </c>
      <c r="C12" s="12" t="inlineStr">
        <is>
          <t>ผู้ใช้ปกติถูกแจ้งว่าน่าสงสัย</t>
        </is>
      </c>
    </row>
    <row r="13" ht="24" customHeight="1">
      <c r="A13" s="12" t="inlineStr">
        <is>
          <t>FN</t>
        </is>
      </c>
      <c r="B13" s="12" t="n">
        <v>60</v>
      </c>
      <c r="C13" s="12" t="inlineStr">
        <is>
          <t>พฤติกรรมน่าสงสัยที่ระบบตรวจไม่พบ</t>
        </is>
      </c>
    </row>
    <row r="14" ht="24" customHeight="1"/>
    <row r="15" ht="24" customHeight="1">
      <c r="A15" s="13" t="inlineStr">
        <is>
          <t>ตัวชี้วัด</t>
        </is>
      </c>
      <c r="B15" s="13" t="inlineStr">
        <is>
          <t>ผลลัพธ์</t>
        </is>
      </c>
      <c r="C15" s="13" t="inlineStr">
        <is>
          <t>สูตร</t>
        </is>
      </c>
      <c r="D15" s="13" t="n"/>
    </row>
    <row r="16" ht="24" customHeight="1">
      <c r="A16" s="12" t="inlineStr">
        <is>
          <t>Accuracy</t>
        </is>
      </c>
      <c r="B16" s="14">
        <f>($B$10+$B$11)/SUM($B$10:$B$13)</f>
        <v/>
      </c>
      <c r="C16" s="12" t="inlineStr">
        <is>
          <t>(TP+TN)/(TP+TN+FP+FN)</t>
        </is>
      </c>
    </row>
    <row r="17" ht="24" customHeight="1">
      <c r="A17" s="12" t="inlineStr">
        <is>
          <t>Precision</t>
        </is>
      </c>
      <c r="B17" s="14">
        <f>$B$10/($B$10+$B$12)</f>
        <v/>
      </c>
      <c r="C17" s="12" t="inlineStr">
        <is>
          <t>TP/(TP+FP)</t>
        </is>
      </c>
    </row>
    <row r="18" ht="24" customHeight="1">
      <c r="A18" s="12" t="inlineStr">
        <is>
          <t>Recall / Detection Rate</t>
        </is>
      </c>
      <c r="B18" s="14">
        <f>$B$10/($B$10+$B$13)</f>
        <v/>
      </c>
      <c r="C18" s="12" t="inlineStr">
        <is>
          <t>TP/(TP+FN)</t>
        </is>
      </c>
    </row>
    <row r="19" ht="24" customHeight="1">
      <c r="A19" s="12" t="inlineStr">
        <is>
          <t>F1-score</t>
        </is>
      </c>
      <c r="B19" s="14">
        <f>2*$B$10/(2*$B$10+$B$12+$B$13)</f>
        <v/>
      </c>
      <c r="C19" s="12" t="inlineStr">
        <is>
          <t>2TP/(2TP+FP+FN)</t>
        </is>
      </c>
    </row>
    <row r="20" ht="24" customHeight="1">
      <c r="A20" s="12" t="inlineStr">
        <is>
          <t>False Positive Rate</t>
        </is>
      </c>
      <c r="B20" s="14">
        <f>$B$12/($B$12+$B$11)</f>
        <v/>
      </c>
      <c r="C20" s="12" t="inlineStr">
        <is>
          <t>FP/(FP+TN)</t>
        </is>
      </c>
    </row>
    <row r="21" ht="24" customHeight="1"/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2026-09-13T09:34:57Z</dcterms:created>
  <dcterms:modified xmlns:dcterms="http://purl.org/dc/terms/" xmlns:xsi="http://www.w3.org/2001/XMLSchema-instance" xsi:type="dcterms:W3CDTF">2026-09-13T09:34:57Z</dcterms:modified>
</cp:coreProperties>
</file>